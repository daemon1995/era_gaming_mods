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game\"/>
    </mc:Choice>
  </mc:AlternateContent>
  <bookViews>
    <workbookView xWindow="0" yWindow="0" windowWidth="19180" windowHeight="8050"/>
  </bookViews>
  <sheets>
    <sheet name="Sheet1" sheetId="1" r:id="rId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7" i="1" l="1"/>
  <c r="H17" i="1"/>
  <c r="G17" i="1"/>
  <c r="I16" i="1"/>
  <c r="H16" i="1"/>
  <c r="G16" i="1"/>
  <c r="K4" i="1" l="1"/>
  <c r="H4" i="1"/>
  <c r="C36" i="1" l="1"/>
  <c r="G9" i="1" l="1"/>
  <c r="H9" i="1"/>
  <c r="I9" i="1"/>
  <c r="G10" i="1"/>
  <c r="H10" i="1"/>
  <c r="I10" i="1"/>
  <c r="G11" i="1"/>
  <c r="H11" i="1"/>
  <c r="I11" i="1"/>
  <c r="G12" i="1"/>
  <c r="H12" i="1"/>
  <c r="I12" i="1"/>
  <c r="G13" i="1"/>
  <c r="H13" i="1"/>
  <c r="I13" i="1"/>
  <c r="G14" i="1"/>
  <c r="H14" i="1"/>
  <c r="I14" i="1"/>
  <c r="G15" i="1"/>
  <c r="H15" i="1"/>
  <c r="I15" i="1"/>
  <c r="G18" i="1"/>
  <c r="H18" i="1"/>
  <c r="I18" i="1"/>
  <c r="G19" i="1"/>
  <c r="H19" i="1"/>
  <c r="I19" i="1"/>
  <c r="G20" i="1"/>
  <c r="H20" i="1"/>
  <c r="I20" i="1"/>
  <c r="G21" i="1"/>
  <c r="H21" i="1"/>
  <c r="I21" i="1"/>
  <c r="G22" i="1"/>
  <c r="H22" i="1"/>
  <c r="I22" i="1"/>
  <c r="G23" i="1"/>
  <c r="H23" i="1"/>
  <c r="I23" i="1"/>
  <c r="G24" i="1"/>
  <c r="H24" i="1"/>
  <c r="I24" i="1"/>
  <c r="G25" i="1"/>
  <c r="H25" i="1"/>
  <c r="I25" i="1"/>
  <c r="G26" i="1"/>
  <c r="H26" i="1"/>
  <c r="I26" i="1"/>
  <c r="G27" i="1"/>
  <c r="H27" i="1"/>
  <c r="I27" i="1"/>
  <c r="G28" i="1"/>
  <c r="H28" i="1"/>
  <c r="I28" i="1"/>
  <c r="G29" i="1"/>
  <c r="H29" i="1"/>
  <c r="I29" i="1"/>
  <c r="G30" i="1"/>
  <c r="H30" i="1"/>
  <c r="I30" i="1"/>
  <c r="G31" i="1"/>
  <c r="H31" i="1"/>
  <c r="I31" i="1"/>
  <c r="G32" i="1"/>
  <c r="H32" i="1"/>
  <c r="I32" i="1"/>
  <c r="G33" i="1"/>
  <c r="H33" i="1"/>
  <c r="I33" i="1"/>
  <c r="G34" i="1"/>
  <c r="H34" i="1"/>
  <c r="I34" i="1"/>
  <c r="G35" i="1"/>
  <c r="H35" i="1"/>
  <c r="I35" i="1"/>
  <c r="I8" i="1"/>
  <c r="H8" i="1"/>
  <c r="G8" i="1"/>
  <c r="G36" i="1" l="1"/>
  <c r="N10" i="1" s="1"/>
  <c r="H36" i="1"/>
  <c r="N11" i="1" s="1"/>
  <c r="N14" i="1" s="1"/>
  <c r="I36" i="1"/>
  <c r="N12" i="1" s="1"/>
  <c r="N15" i="1" l="1"/>
  <c r="N13" i="1"/>
</calcChain>
</file>

<file path=xl/sharedStrings.xml><?xml version="1.0" encoding="utf-8"?>
<sst xmlns="http://schemas.openxmlformats.org/spreadsheetml/2006/main" count="60" uniqueCount="58">
  <si>
    <t>for Advanced Classes Mod 1.05@WOG ERA</t>
    <phoneticPr fontId="1" type="noConversion"/>
  </si>
  <si>
    <t>Hero Classes Table Simulator V4(2020.10.27)</t>
    <phoneticPr fontId="1" type="noConversion"/>
  </si>
  <si>
    <t>10 skills mod switch (0:Disabled / 1:Enabled)</t>
    <phoneticPr fontId="1" type="noConversion"/>
  </si>
  <si>
    <t xml:space="preserve">Offense </t>
    <phoneticPr fontId="1" type="noConversion"/>
  </si>
  <si>
    <t xml:space="preserve">Air Magic </t>
    <phoneticPr fontId="1" type="noConversion"/>
  </si>
  <si>
    <t xml:space="preserve">Earth Magic </t>
    <phoneticPr fontId="1" type="noConversion"/>
  </si>
  <si>
    <t xml:space="preserve">Fire Magic </t>
    <phoneticPr fontId="1" type="noConversion"/>
  </si>
  <si>
    <t xml:space="preserve">Water Magic </t>
    <phoneticPr fontId="1" type="noConversion"/>
  </si>
  <si>
    <t xml:space="preserve">Mysticism </t>
    <phoneticPr fontId="1" type="noConversion"/>
  </si>
  <si>
    <t xml:space="preserve">Intelligence </t>
    <phoneticPr fontId="1" type="noConversion"/>
  </si>
  <si>
    <t xml:space="preserve">Wisdom </t>
    <phoneticPr fontId="1" type="noConversion"/>
  </si>
  <si>
    <t xml:space="preserve">Sorcery </t>
    <phoneticPr fontId="1" type="noConversion"/>
  </si>
  <si>
    <t xml:space="preserve">Scholar </t>
    <phoneticPr fontId="1" type="noConversion"/>
  </si>
  <si>
    <t>Resistance</t>
    <phoneticPr fontId="1" type="noConversion"/>
  </si>
  <si>
    <t xml:space="preserve">Archery </t>
    <phoneticPr fontId="1" type="noConversion"/>
  </si>
  <si>
    <t xml:space="preserve">Armorer </t>
    <phoneticPr fontId="1" type="noConversion"/>
  </si>
  <si>
    <t xml:space="preserve">Ballistics </t>
    <phoneticPr fontId="1" type="noConversion"/>
  </si>
  <si>
    <t xml:space="preserve">Artillery </t>
    <phoneticPr fontId="1" type="noConversion"/>
  </si>
  <si>
    <t xml:space="preserve">Leadership </t>
    <phoneticPr fontId="1" type="noConversion"/>
  </si>
  <si>
    <t xml:space="preserve">Luck </t>
    <phoneticPr fontId="1" type="noConversion"/>
  </si>
  <si>
    <t xml:space="preserve">Warfare </t>
    <phoneticPr fontId="1" type="noConversion"/>
  </si>
  <si>
    <t>Eagle Eye</t>
    <phoneticPr fontId="1" type="noConversion"/>
  </si>
  <si>
    <t xml:space="preserve">Diplomacy </t>
    <phoneticPr fontId="1" type="noConversion"/>
  </si>
  <si>
    <t xml:space="preserve">Learning </t>
    <phoneticPr fontId="1" type="noConversion"/>
  </si>
  <si>
    <t xml:space="preserve">Logistics </t>
    <phoneticPr fontId="1" type="noConversion"/>
  </si>
  <si>
    <t>Nobility</t>
    <phoneticPr fontId="1" type="noConversion"/>
  </si>
  <si>
    <t xml:space="preserve">Scouting </t>
    <phoneticPr fontId="1" type="noConversion"/>
  </si>
  <si>
    <t>Pathfinding</t>
    <phoneticPr fontId="1" type="noConversion"/>
  </si>
  <si>
    <t>Estates</t>
    <phoneticPr fontId="1" type="noConversion"/>
  </si>
  <si>
    <t>First Aid</t>
    <phoneticPr fontId="1" type="noConversion"/>
  </si>
  <si>
    <t>W</t>
    <phoneticPr fontId="1" type="noConversion"/>
  </si>
  <si>
    <t>M</t>
    <phoneticPr fontId="1" type="noConversion"/>
  </si>
  <si>
    <t>A</t>
    <phoneticPr fontId="1" type="noConversion"/>
  </si>
  <si>
    <t>Effective class points</t>
    <phoneticPr fontId="1" type="noConversion"/>
  </si>
  <si>
    <t>Rule table of class points</t>
    <phoneticPr fontId="1" type="noConversion"/>
  </si>
  <si>
    <t>Warrior skills</t>
    <phoneticPr fontId="1" type="noConversion"/>
  </si>
  <si>
    <t xml:space="preserve">Warrior </t>
    <phoneticPr fontId="1" type="noConversion"/>
  </si>
  <si>
    <t>Mage skills</t>
    <phoneticPr fontId="1" type="noConversion"/>
  </si>
  <si>
    <t>Mage</t>
    <phoneticPr fontId="1" type="noConversion"/>
  </si>
  <si>
    <t>Adventurer skills</t>
    <phoneticPr fontId="1" type="noConversion"/>
  </si>
  <si>
    <t>Adventurer</t>
    <phoneticPr fontId="1" type="noConversion"/>
  </si>
  <si>
    <t>Battlemage</t>
    <phoneticPr fontId="1" type="noConversion"/>
  </si>
  <si>
    <t>Hunter</t>
    <phoneticPr fontId="1" type="noConversion"/>
  </si>
  <si>
    <t>Druid</t>
    <phoneticPr fontId="1" type="noConversion"/>
  </si>
  <si>
    <t>Class Points for Master:</t>
    <phoneticPr fontId="1" type="noConversion"/>
  </si>
  <si>
    <t>Grandmaster:</t>
    <phoneticPr fontId="1" type="noConversion"/>
  </si>
  <si>
    <t>Present class points：</t>
    <phoneticPr fontId="1" type="noConversion"/>
  </si>
  <si>
    <t>Total skill number:</t>
    <phoneticPr fontId="1" type="noConversion"/>
  </si>
  <si>
    <t xml:space="preserve">Necromancy </t>
    <phoneticPr fontId="1" type="noConversion"/>
  </si>
  <si>
    <t>A</t>
    <phoneticPr fontId="1" type="noConversion"/>
  </si>
  <si>
    <t>The hero class you will get:</t>
    <phoneticPr fontId="1" type="noConversion"/>
  </si>
  <si>
    <t>Main hero class</t>
    <phoneticPr fontId="1" type="noConversion"/>
  </si>
  <si>
    <t>Hybrid subclasses</t>
    <phoneticPr fontId="1" type="noConversion"/>
  </si>
  <si>
    <t>Modify the skill level mark, 1 for basic/advanced/expert, 2 for master and grandmaster</t>
    <phoneticPr fontId="1" type="noConversion"/>
  </si>
  <si>
    <t>Tips:</t>
    <phoneticPr fontId="1" type="noConversion"/>
  </si>
  <si>
    <t>Skill level mark</t>
    <phoneticPr fontId="1" type="noConversion"/>
  </si>
  <si>
    <t>Skill</t>
    <phoneticPr fontId="1" type="noConversion"/>
  </si>
  <si>
    <t>This simulator allow users define which skill you will get and upgrade, and then what hero class you will get. 
1) You should input number with colored background. Don't change other cells. 
2) The caculation ability is too simple, so it can't detect conflictions, such as skill numbers, class you will get. Please give resonable skill level mark. 
3) Everyone can modify and upgrade this file. There is no password to unlock the sheet.
southwest@www.h3wog.com    2020.10.28</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</si>
</sst>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等线"/>
      <family val="2"/>
      <charset val="134"/>
      <scheme val="minor"/>
    </font>
    <font>
      <sz val="9"/>
      <name val="等线"/>
      <family val="2"/>
      <charset val="134"/>
      <scheme val="minor"/>
    </font>
    <font>
      <sz val="11"/>
      <color theme="1"/>
      <name val="微软雅黑"/>
      <family val="2"/>
      <charset val="134"/>
    </font>
    <font>
      <b/>
      <sz val="11"/>
      <color rgb="FFFF0000"/>
      <name val="微软雅黑"/>
      <family val="2"/>
      <charset val="134"/>
    </font>
    <font>
      <sz val="22"/>
      <color theme="1"/>
      <name val="微软雅黑"/>
      <family val="2"/>
      <charset val="134"/>
    </font>
    <font>
      <b/>
      <sz val="16"/>
      <color rgb="FFFF0000"/>
      <name val="微软雅黑"/>
      <family val="2"/>
      <charset val="134"/>
    </font>
    <font>
      <b/>
      <sz val="11"/>
      <color rgb="FF7030A0"/>
      <name val="微软雅黑"/>
      <family val="2"/>
      <charset val="134"/>
    </font>
    <font>
      <sz val="16"/>
      <color theme="1"/>
      <name val="微软雅黑"/>
      <family val="2"/>
      <charset val="134"/>
    </font>
    <font>
      <b/>
      <sz val="11"/>
      <color theme="1"/>
      <name val="微软雅黑"/>
      <family val="2"/>
      <charset val="134"/>
    </font>
  </fonts>
  <fills count="8">
    <fill>
      <patternFill patternType="none"/>
    </fill>
    <fill>
      <patternFill patternType="gray125"/>
    </fill>
    <fill>
      <patternFill patternType="solid">
        <fgColor theme="5"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bgColor indexed="64"/>
      </patternFill>
    </fill>
    <fill>
      <patternFill patternType="solid">
        <fgColor rgb="FFFFFFFF"/>
        <bgColor indexed="64"/>
      </patternFill>
    </fill>
    <fill>
      <patternFill patternType="solid">
        <fgColor theme="5"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alignment vertical="center"/>
    </xf>
  </cellStyleXfs>
  <cellXfs count="44">
    <xf numFmtId="0" fontId="0" fillId="0" borderId="0" xfId="0">
      <alignment vertical="center"/>
    </xf>
    <xf numFmtId="0" fontId="2" fillId="2" borderId="1" xfId="0" applyFont="1" applyFill="1" applyBorder="1" applyAlignment="1" applyProtection="1">
      <alignment horizontal="center" vertical="center" wrapText="1"/>
      <protection locked="0"/>
    </xf>
    <xf numFmtId="0" fontId="2" fillId="3" borderId="1" xfId="0" applyFont="1" applyFill="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xf>
    <xf numFmtId="0" fontId="2" fillId="0" borderId="0" xfId="0" applyFont="1" applyAlignment="1" applyProtection="1">
      <alignment vertical="center" wrapText="1"/>
    </xf>
    <xf numFmtId="0" fontId="7" fillId="0" borderId="0" xfId="0" applyFont="1" applyAlignment="1" applyProtection="1">
      <alignment horizontal="center" vertical="center" wrapText="1"/>
    </xf>
    <xf numFmtId="0" fontId="3" fillId="0" borderId="0" xfId="0" applyFont="1" applyAlignment="1" applyProtection="1">
      <alignment horizontal="left" vertical="center" wrapText="1"/>
    </xf>
    <xf numFmtId="0" fontId="2" fillId="0" borderId="0" xfId="0" applyFont="1" applyAlignment="1" applyProtection="1">
      <alignment horizontal="center" vertical="center" wrapText="1"/>
    </xf>
    <xf numFmtId="0" fontId="2" fillId="0" borderId="0" xfId="0" applyFont="1" applyAlignment="1" applyProtection="1">
      <alignment horizontal="left" vertical="center" wrapText="1"/>
    </xf>
    <xf numFmtId="0" fontId="3" fillId="0" borderId="8" xfId="0" applyFont="1" applyBorder="1" applyAlignment="1" applyProtection="1">
      <alignment horizontal="left" vertical="center" wrapText="1"/>
    </xf>
    <xf numFmtId="0" fontId="2" fillId="0" borderId="1" xfId="0" applyFont="1" applyBorder="1" applyAlignment="1" applyProtection="1">
      <alignment vertical="center" wrapText="1"/>
    </xf>
    <xf numFmtId="0" fontId="5" fillId="0" borderId="5"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0" borderId="2" xfId="0" applyFont="1" applyBorder="1" applyAlignment="1" applyProtection="1">
      <alignment horizontal="center" vertical="center" wrapText="1"/>
    </xf>
    <xf numFmtId="0" fontId="2" fillId="2" borderId="1" xfId="0" applyFont="1" applyFill="1" applyBorder="1" applyAlignment="1" applyProtection="1">
      <alignment vertical="center" wrapText="1"/>
    </xf>
    <xf numFmtId="0" fontId="2" fillId="5" borderId="1" xfId="0" applyFont="1" applyFill="1" applyBorder="1" applyAlignment="1" applyProtection="1">
      <alignment vertical="center" wrapText="1"/>
    </xf>
    <xf numFmtId="0" fontId="6" fillId="6" borderId="9" xfId="0" applyFont="1" applyFill="1" applyBorder="1" applyAlignment="1" applyProtection="1">
      <alignment horizontal="center" vertical="center" wrapText="1"/>
    </xf>
    <xf numFmtId="0" fontId="6" fillId="6" borderId="10" xfId="0" applyFont="1" applyFill="1" applyBorder="1" applyAlignment="1" applyProtection="1">
      <alignment horizontal="center" vertical="center" wrapText="1"/>
    </xf>
    <xf numFmtId="0" fontId="6" fillId="6" borderId="11" xfId="0" applyFont="1" applyFill="1" applyBorder="1" applyAlignment="1" applyProtection="1">
      <alignment horizontal="center" vertical="center" wrapText="1"/>
    </xf>
    <xf numFmtId="0" fontId="2" fillId="0" borderId="0" xfId="0" applyFont="1" applyFill="1" applyAlignment="1" applyProtection="1">
      <alignment vertical="center" wrapText="1"/>
    </xf>
    <xf numFmtId="0" fontId="2" fillId="0" borderId="3" xfId="0" applyFont="1" applyBorder="1" applyAlignment="1" applyProtection="1">
      <alignment horizontal="center" vertical="center" wrapText="1"/>
    </xf>
    <xf numFmtId="0" fontId="6" fillId="6" borderId="12" xfId="0" applyFont="1" applyFill="1" applyBorder="1" applyAlignment="1" applyProtection="1">
      <alignment horizontal="center" vertical="center" wrapText="1"/>
    </xf>
    <xf numFmtId="0" fontId="6" fillId="6" borderId="1" xfId="0" applyFont="1" applyFill="1" applyBorder="1" applyAlignment="1" applyProtection="1">
      <alignment horizontal="center" vertical="center" wrapText="1"/>
    </xf>
    <xf numFmtId="0" fontId="6" fillId="6" borderId="13" xfId="0" applyFont="1" applyFill="1" applyBorder="1" applyAlignment="1" applyProtection="1">
      <alignment horizontal="center" vertical="center" wrapText="1"/>
    </xf>
    <xf numFmtId="0" fontId="8" fillId="6" borderId="14" xfId="0" applyFont="1" applyFill="1" applyBorder="1" applyAlignment="1" applyProtection="1">
      <alignment horizontal="center" vertical="center" wrapText="1"/>
    </xf>
    <xf numFmtId="0" fontId="8" fillId="6" borderId="1" xfId="0" applyFont="1" applyFill="1" applyBorder="1" applyAlignment="1" applyProtection="1">
      <alignment horizontal="center" vertical="center" wrapText="1"/>
    </xf>
    <xf numFmtId="0" fontId="6" fillId="6" borderId="13" xfId="0" applyFont="1" applyFill="1" applyBorder="1" applyAlignment="1" applyProtection="1">
      <alignment horizontal="center" vertical="center" wrapText="1"/>
    </xf>
    <xf numFmtId="0" fontId="8" fillId="6" borderId="15" xfId="0" applyFont="1" applyFill="1" applyBorder="1" applyAlignment="1" applyProtection="1">
      <alignment horizontal="center" vertical="center" wrapText="1"/>
    </xf>
    <xf numFmtId="0" fontId="8" fillId="6" borderId="16" xfId="0" applyFont="1" applyFill="1" applyBorder="1" applyAlignment="1" applyProtection="1">
      <alignment horizontal="center" vertical="center" wrapText="1"/>
    </xf>
    <xf numFmtId="0" fontId="8" fillId="6" borderId="17" xfId="0" applyFont="1" applyFill="1" applyBorder="1" applyAlignment="1" applyProtection="1">
      <alignment horizontal="center" vertical="center" wrapText="1"/>
    </xf>
    <xf numFmtId="0" fontId="8" fillId="6" borderId="18" xfId="0" applyFont="1" applyFill="1" applyBorder="1" applyAlignment="1" applyProtection="1">
      <alignment horizontal="center" vertical="center" wrapText="1"/>
    </xf>
    <xf numFmtId="0" fontId="6" fillId="6" borderId="19" xfId="0" applyFont="1" applyFill="1" applyBorder="1" applyAlignment="1" applyProtection="1">
      <alignment horizontal="center" vertical="center" wrapText="1"/>
    </xf>
    <xf numFmtId="0" fontId="2" fillId="0" borderId="4" xfId="0" applyFont="1" applyBorder="1" applyAlignment="1" applyProtection="1">
      <alignment horizontal="center" vertical="center" wrapText="1"/>
    </xf>
    <xf numFmtId="0" fontId="2" fillId="3" borderId="1" xfId="0" applyFont="1" applyFill="1" applyBorder="1" applyAlignment="1" applyProtection="1">
      <alignment vertical="center" wrapText="1"/>
    </xf>
    <xf numFmtId="0" fontId="2" fillId="4" borderId="1" xfId="0" applyFont="1" applyFill="1" applyBorder="1" applyAlignment="1" applyProtection="1">
      <alignment vertical="center" wrapText="1"/>
    </xf>
    <xf numFmtId="0" fontId="6" fillId="6" borderId="5" xfId="0" applyFont="1" applyFill="1" applyBorder="1" applyAlignment="1" applyProtection="1">
      <alignment horizontal="center" vertical="center" wrapText="1"/>
    </xf>
    <xf numFmtId="0" fontId="6" fillId="6" borderId="6" xfId="0" applyFont="1" applyFill="1" applyBorder="1" applyAlignment="1" applyProtection="1">
      <alignment horizontal="center" vertical="center" wrapText="1"/>
    </xf>
    <xf numFmtId="0" fontId="6" fillId="6" borderId="1" xfId="0" applyFont="1" applyFill="1" applyBorder="1" applyAlignment="1" applyProtection="1">
      <alignment horizontal="center" vertical="center" wrapText="1"/>
    </xf>
    <xf numFmtId="0" fontId="6" fillId="6" borderId="7" xfId="0" applyFont="1" applyFill="1" applyBorder="1" applyAlignment="1" applyProtection="1">
      <alignment horizontal="center" vertical="center" wrapText="1"/>
    </xf>
    <xf numFmtId="0" fontId="2" fillId="0" borderId="0" xfId="0" applyFont="1" applyAlignment="1" applyProtection="1">
      <alignment horizontal="left" vertical="top" wrapText="1"/>
    </xf>
    <xf numFmtId="0" fontId="2" fillId="7" borderId="0" xfId="0" applyFont="1" applyFill="1" applyAlignment="1" applyProtection="1">
      <alignment vertical="center" wrapText="1"/>
      <protection locked="0"/>
    </xf>
  </cellXfs>
  <cellStyles count="1">
    <cellStyle name="常规" xfId="0" builtinId="0"/>
  </cellStyles>
  <dxfs count="0"/>
  <tableStyles count="0" defaultTableStyle="TableStyleMedium2" defaultPivotStyle="PivotStyleLight16"/>
  <colors>
    <mruColors>
      <color rgb="FFDBA1D4"/>
      <color rgb="FF9966FF"/>
      <color rgb="FFFFFF66"/>
      <color rgb="FFCC66FF"/>
      <color rgb="FFFF6600"/>
      <color rgb="FFFF6699"/>
      <color rgb="FFEB7FE1"/>
      <color rgb="FFCC99FF"/>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39"/>
  <sheetViews>
    <sheetView tabSelected="1" workbookViewId="0">
      <selection activeCell="L4" sqref="L4"/>
    </sheetView>
  </sheetViews>
  <sheetFormatPr defaultRowHeight="16.5" x14ac:dyDescent="0.3"/>
  <cols>
    <col min="1" max="1" width="11.25" style="5" customWidth="1"/>
    <col min="2" max="2" width="12.75" style="5" customWidth="1"/>
    <col min="3" max="3" width="16.58203125" style="5" customWidth="1"/>
    <col min="4" max="4" width="9.4140625" style="5" customWidth="1"/>
    <col min="5" max="5" width="9.25" style="5" customWidth="1"/>
    <col min="6" max="6" width="9.9140625" style="5" customWidth="1"/>
    <col min="7" max="7" width="12.25" style="5" customWidth="1"/>
    <col min="8" max="8" width="10.1640625" style="5" customWidth="1"/>
    <col min="9" max="9" width="13.08203125" style="5" customWidth="1"/>
    <col min="10" max="10" width="3.83203125" style="5" customWidth="1"/>
    <col min="11" max="11" width="6.4140625" style="5" customWidth="1"/>
    <col min="12" max="12" width="18.25" style="5" customWidth="1"/>
    <col min="13" max="13" width="13.6640625" style="5" customWidth="1"/>
    <col min="14" max="14" width="19.33203125" style="5" customWidth="1"/>
    <col min="15" max="17" width="11.58203125" style="5" customWidth="1"/>
    <col min="18" max="16384" width="8.6640625" style="5"/>
  </cols>
  <sheetData>
    <row r="1" spans="1:17" ht="30" customHeight="1" x14ac:dyDescent="0.3">
      <c r="A1" s="4" t="s">
        <v>1</v>
      </c>
      <c r="B1" s="4"/>
      <c r="C1" s="4"/>
      <c r="D1" s="4"/>
      <c r="E1" s="4"/>
      <c r="F1" s="4"/>
      <c r="G1" s="4"/>
      <c r="H1" s="4"/>
      <c r="I1" s="4"/>
      <c r="J1" s="4"/>
      <c r="K1" s="4"/>
      <c r="L1" s="4"/>
      <c r="M1" s="4"/>
      <c r="N1" s="4"/>
    </row>
    <row r="2" spans="1:17" ht="21.5" customHeight="1" x14ac:dyDescent="0.3">
      <c r="A2" s="6" t="s">
        <v>0</v>
      </c>
      <c r="B2" s="6"/>
      <c r="C2" s="6"/>
      <c r="D2" s="6"/>
      <c r="E2" s="6"/>
      <c r="F2" s="6"/>
      <c r="G2" s="6"/>
      <c r="H2" s="6"/>
      <c r="I2" s="6"/>
      <c r="J2" s="6"/>
      <c r="K2" s="6"/>
      <c r="L2" s="6"/>
      <c r="M2" s="6"/>
      <c r="N2" s="6"/>
    </row>
    <row r="4" spans="1:17" x14ac:dyDescent="0.3">
      <c r="A4" s="7" t="s">
        <v>2</v>
      </c>
      <c r="B4" s="7"/>
      <c r="C4" s="7"/>
      <c r="D4" s="7"/>
      <c r="E4" s="43">
        <v>0</v>
      </c>
      <c r="F4" s="8" t="s">
        <v>44</v>
      </c>
      <c r="G4" s="8"/>
      <c r="H4" s="9">
        <f>IF(E4=0,35,45)</f>
        <v>35</v>
      </c>
      <c r="I4" s="5" t="s">
        <v>45</v>
      </c>
      <c r="K4" s="9">
        <f>IF(E4=0,58,72)</f>
        <v>58</v>
      </c>
    </row>
    <row r="5" spans="1:17" x14ac:dyDescent="0.3">
      <c r="A5" s="10" t="s">
        <v>53</v>
      </c>
      <c r="B5" s="10"/>
      <c r="C5" s="10"/>
      <c r="D5" s="10"/>
      <c r="E5" s="10"/>
      <c r="F5" s="10"/>
      <c r="G5" s="10"/>
      <c r="H5" s="10"/>
      <c r="I5" s="10"/>
    </row>
    <row r="6" spans="1:17" ht="22.5" x14ac:dyDescent="0.3">
      <c r="A6" s="11"/>
      <c r="B6" s="12"/>
      <c r="C6" s="13"/>
      <c r="D6" s="14" t="s">
        <v>34</v>
      </c>
      <c r="E6" s="14"/>
      <c r="F6" s="14"/>
      <c r="G6" s="14" t="s">
        <v>33</v>
      </c>
      <c r="H6" s="14"/>
      <c r="I6" s="14"/>
    </row>
    <row r="7" spans="1:17" ht="17" thickBot="1" x14ac:dyDescent="0.35">
      <c r="A7" s="11"/>
      <c r="B7" s="15" t="s">
        <v>56</v>
      </c>
      <c r="C7" s="15" t="s">
        <v>55</v>
      </c>
      <c r="D7" s="15" t="s">
        <v>30</v>
      </c>
      <c r="E7" s="15" t="s">
        <v>31</v>
      </c>
      <c r="F7" s="15" t="s">
        <v>32</v>
      </c>
      <c r="G7" s="15" t="s">
        <v>30</v>
      </c>
      <c r="H7" s="15" t="s">
        <v>31</v>
      </c>
      <c r="I7" s="15" t="s">
        <v>49</v>
      </c>
    </row>
    <row r="8" spans="1:17" x14ac:dyDescent="0.3">
      <c r="A8" s="16" t="s">
        <v>35</v>
      </c>
      <c r="B8" s="17" t="s">
        <v>3</v>
      </c>
      <c r="C8" s="1">
        <v>0</v>
      </c>
      <c r="D8" s="18">
        <v>8</v>
      </c>
      <c r="E8" s="18">
        <v>1</v>
      </c>
      <c r="F8" s="18">
        <v>1</v>
      </c>
      <c r="G8" s="18">
        <f>IF(C8&gt;=1,1,0)*D8</f>
        <v>0</v>
      </c>
      <c r="H8" s="18">
        <f>IF(C8&gt;=1,1,0)*E8</f>
        <v>0</v>
      </c>
      <c r="I8" s="18">
        <f>IF(C8&gt;=1,1,0)*F8</f>
        <v>0</v>
      </c>
      <c r="L8" s="19" t="s">
        <v>50</v>
      </c>
      <c r="M8" s="20"/>
      <c r="N8" s="21"/>
      <c r="Q8" s="22"/>
    </row>
    <row r="9" spans="1:17" ht="16.5" customHeight="1" x14ac:dyDescent="0.3">
      <c r="A9" s="23"/>
      <c r="B9" s="17" t="s">
        <v>15</v>
      </c>
      <c r="C9" s="1">
        <v>0</v>
      </c>
      <c r="D9" s="18">
        <v>7</v>
      </c>
      <c r="E9" s="18">
        <v>1</v>
      </c>
      <c r="F9" s="18">
        <v>2</v>
      </c>
      <c r="G9" s="18">
        <f t="shared" ref="G9:G35" si="0">IF(C9&gt;=1,1,0)*D9</f>
        <v>0</v>
      </c>
      <c r="H9" s="18">
        <f t="shared" ref="H9:H35" si="1">IF(C9&gt;=1,1,0)*E9</f>
        <v>0</v>
      </c>
      <c r="I9" s="18">
        <f t="shared" ref="I9:I35" si="2">IF(C9&gt;=1,1,0)*F9</f>
        <v>0</v>
      </c>
      <c r="L9" s="24"/>
      <c r="M9" s="25"/>
      <c r="N9" s="26"/>
    </row>
    <row r="10" spans="1:17" x14ac:dyDescent="0.3">
      <c r="A10" s="23"/>
      <c r="B10" s="17" t="s">
        <v>14</v>
      </c>
      <c r="C10" s="1">
        <v>0</v>
      </c>
      <c r="D10" s="18">
        <v>7</v>
      </c>
      <c r="E10" s="18">
        <v>2</v>
      </c>
      <c r="F10" s="18">
        <v>2</v>
      </c>
      <c r="G10" s="18">
        <f t="shared" si="0"/>
        <v>0</v>
      </c>
      <c r="H10" s="18">
        <f t="shared" si="1"/>
        <v>0</v>
      </c>
      <c r="I10" s="18">
        <f t="shared" si="2"/>
        <v>0</v>
      </c>
      <c r="L10" s="27" t="s">
        <v>51</v>
      </c>
      <c r="M10" s="28" t="s">
        <v>36</v>
      </c>
      <c r="N10" s="29" t="str">
        <f>IF(G36&gt;=K4,"Grand Master",IF(G36&gt;=H4,"Master","None"))</f>
        <v>None</v>
      </c>
    </row>
    <row r="11" spans="1:17" x14ac:dyDescent="0.3">
      <c r="A11" s="23"/>
      <c r="B11" s="17" t="s">
        <v>20</v>
      </c>
      <c r="C11" s="1">
        <v>0</v>
      </c>
      <c r="D11" s="18">
        <v>7</v>
      </c>
      <c r="E11" s="18">
        <v>3</v>
      </c>
      <c r="F11" s="18">
        <v>2</v>
      </c>
      <c r="G11" s="18">
        <f t="shared" si="0"/>
        <v>0</v>
      </c>
      <c r="H11" s="18">
        <f t="shared" si="1"/>
        <v>0</v>
      </c>
      <c r="I11" s="18">
        <f t="shared" si="2"/>
        <v>0</v>
      </c>
      <c r="L11" s="30"/>
      <c r="M11" s="28" t="s">
        <v>38</v>
      </c>
      <c r="N11" s="29" t="str">
        <f>IF(H36&gt;=K4,"Grand Master",IF(H36&gt;=H4,"Master","None"))</f>
        <v>None</v>
      </c>
    </row>
    <row r="12" spans="1:17" x14ac:dyDescent="0.3">
      <c r="A12" s="23"/>
      <c r="B12" s="17" t="s">
        <v>18</v>
      </c>
      <c r="C12" s="1">
        <v>0</v>
      </c>
      <c r="D12" s="18">
        <v>6</v>
      </c>
      <c r="E12" s="18">
        <v>4</v>
      </c>
      <c r="F12" s="18">
        <v>3</v>
      </c>
      <c r="G12" s="18">
        <f t="shared" si="0"/>
        <v>0</v>
      </c>
      <c r="H12" s="18">
        <f t="shared" si="1"/>
        <v>0</v>
      </c>
      <c r="I12" s="18">
        <f t="shared" si="2"/>
        <v>0</v>
      </c>
      <c r="L12" s="31"/>
      <c r="M12" s="28" t="s">
        <v>40</v>
      </c>
      <c r="N12" s="29" t="str">
        <f>IF(I36&gt;=K4,"Grand Master",IF(I36&gt;=H4,"Master","None"))</f>
        <v>None</v>
      </c>
    </row>
    <row r="13" spans="1:17" x14ac:dyDescent="0.3">
      <c r="A13" s="23"/>
      <c r="B13" s="17" t="s">
        <v>19</v>
      </c>
      <c r="C13" s="1">
        <v>0</v>
      </c>
      <c r="D13" s="18">
        <v>6</v>
      </c>
      <c r="E13" s="18">
        <v>3</v>
      </c>
      <c r="F13" s="18">
        <v>4</v>
      </c>
      <c r="G13" s="18">
        <f t="shared" si="0"/>
        <v>0</v>
      </c>
      <c r="H13" s="18">
        <f t="shared" si="1"/>
        <v>0</v>
      </c>
      <c r="I13" s="18">
        <f t="shared" si="2"/>
        <v>0</v>
      </c>
      <c r="L13" s="27" t="s">
        <v>52</v>
      </c>
      <c r="M13" s="28" t="s">
        <v>42</v>
      </c>
      <c r="N13" s="29" t="str">
        <f>IF(AND(COUNTIF(N10,"*"&amp;"Master"&amp;"*")=1,COUNTIF(N12,"*"&amp;"Master"&amp;"*")=1),"Master","None")</f>
        <v>None</v>
      </c>
    </row>
    <row r="14" spans="1:17" x14ac:dyDescent="0.3">
      <c r="A14" s="23"/>
      <c r="B14" s="17" t="s">
        <v>17</v>
      </c>
      <c r="C14" s="1">
        <v>0</v>
      </c>
      <c r="D14" s="18">
        <v>6</v>
      </c>
      <c r="E14" s="18">
        <v>3</v>
      </c>
      <c r="F14" s="18">
        <v>3</v>
      </c>
      <c r="G14" s="18">
        <f t="shared" si="0"/>
        <v>0</v>
      </c>
      <c r="H14" s="18">
        <f t="shared" si="1"/>
        <v>0</v>
      </c>
      <c r="I14" s="18">
        <f t="shared" si="2"/>
        <v>0</v>
      </c>
      <c r="L14" s="30"/>
      <c r="M14" s="28" t="s">
        <v>43</v>
      </c>
      <c r="N14" s="29" t="str">
        <f>IF(AND(COUNTIF(N11,"*"&amp;"Master"&amp;"*")=1,COUNTIF(N12,"*"&amp;"Master"&amp;"*")=1),"Master","None")</f>
        <v>None</v>
      </c>
    </row>
    <row r="15" spans="1:17" ht="17" thickBot="1" x14ac:dyDescent="0.35">
      <c r="A15" s="23"/>
      <c r="B15" s="17" t="s">
        <v>16</v>
      </c>
      <c r="C15" s="1">
        <v>0</v>
      </c>
      <c r="D15" s="18">
        <v>6</v>
      </c>
      <c r="E15" s="18">
        <v>4</v>
      </c>
      <c r="F15" s="18">
        <v>3</v>
      </c>
      <c r="G15" s="18">
        <f t="shared" si="0"/>
        <v>0</v>
      </c>
      <c r="H15" s="18">
        <f t="shared" si="1"/>
        <v>0</v>
      </c>
      <c r="I15" s="18">
        <f t="shared" si="2"/>
        <v>0</v>
      </c>
      <c r="L15" s="32"/>
      <c r="M15" s="33" t="s">
        <v>41</v>
      </c>
      <c r="N15" s="34" t="str">
        <f>IF(AND(COUNTIF(N10,"*"&amp;"Master"&amp;"*")=1,COUNTIF(N11,"*"&amp;"Master"&amp;"*")=1),"Master","None")</f>
        <v>None</v>
      </c>
    </row>
    <row r="16" spans="1:17" x14ac:dyDescent="0.3">
      <c r="A16" s="23"/>
      <c r="B16" s="17" t="s">
        <v>13</v>
      </c>
      <c r="C16" s="1">
        <v>0</v>
      </c>
      <c r="D16" s="18">
        <v>6</v>
      </c>
      <c r="E16" s="18">
        <v>4</v>
      </c>
      <c r="F16" s="18">
        <v>3</v>
      </c>
      <c r="G16" s="18">
        <f t="shared" ref="G16:G17" si="3">IF(C16&gt;=1,1,0)*D16</f>
        <v>0</v>
      </c>
      <c r="H16" s="18">
        <f t="shared" ref="H16:H17" si="4">IF(C16&gt;=1,1,0)*E16</f>
        <v>0</v>
      </c>
      <c r="I16" s="18">
        <f t="shared" ref="I16:I17" si="5">IF(C16&gt;=1,1,0)*F16</f>
        <v>0</v>
      </c>
    </row>
    <row r="17" spans="1:9" x14ac:dyDescent="0.3">
      <c r="A17" s="35"/>
      <c r="B17" s="17" t="s">
        <v>48</v>
      </c>
      <c r="C17" s="1">
        <v>0</v>
      </c>
      <c r="D17" s="18">
        <v>4</v>
      </c>
      <c r="E17" s="18">
        <v>4</v>
      </c>
      <c r="F17" s="18">
        <v>4</v>
      </c>
      <c r="G17" s="18">
        <f t="shared" si="3"/>
        <v>0</v>
      </c>
      <c r="H17" s="18">
        <f t="shared" si="4"/>
        <v>0</v>
      </c>
      <c r="I17" s="18">
        <f t="shared" si="5"/>
        <v>0</v>
      </c>
    </row>
    <row r="18" spans="1:9" x14ac:dyDescent="0.3">
      <c r="A18" s="16" t="s">
        <v>37</v>
      </c>
      <c r="B18" s="36" t="s">
        <v>11</v>
      </c>
      <c r="C18" s="2">
        <v>0</v>
      </c>
      <c r="D18" s="18">
        <v>1</v>
      </c>
      <c r="E18" s="18">
        <v>8</v>
      </c>
      <c r="F18" s="18">
        <v>2</v>
      </c>
      <c r="G18" s="18">
        <f t="shared" si="0"/>
        <v>0</v>
      </c>
      <c r="H18" s="18">
        <f t="shared" si="1"/>
        <v>0</v>
      </c>
      <c r="I18" s="18">
        <f t="shared" si="2"/>
        <v>0</v>
      </c>
    </row>
    <row r="19" spans="1:9" x14ac:dyDescent="0.3">
      <c r="A19" s="23"/>
      <c r="B19" s="36" t="s">
        <v>9</v>
      </c>
      <c r="C19" s="2">
        <v>0</v>
      </c>
      <c r="D19" s="18">
        <v>4</v>
      </c>
      <c r="E19" s="18">
        <v>7</v>
      </c>
      <c r="F19" s="18">
        <v>2</v>
      </c>
      <c r="G19" s="18">
        <f t="shared" si="0"/>
        <v>0</v>
      </c>
      <c r="H19" s="18">
        <f t="shared" si="1"/>
        <v>0</v>
      </c>
      <c r="I19" s="18">
        <f t="shared" si="2"/>
        <v>0</v>
      </c>
    </row>
    <row r="20" spans="1:9" x14ac:dyDescent="0.3">
      <c r="A20" s="23"/>
      <c r="B20" s="36" t="s">
        <v>10</v>
      </c>
      <c r="C20" s="2">
        <v>0</v>
      </c>
      <c r="D20" s="18">
        <v>1</v>
      </c>
      <c r="E20" s="18">
        <v>7</v>
      </c>
      <c r="F20" s="18">
        <v>3</v>
      </c>
      <c r="G20" s="18">
        <f t="shared" si="0"/>
        <v>0</v>
      </c>
      <c r="H20" s="18">
        <f t="shared" si="1"/>
        <v>0</v>
      </c>
      <c r="I20" s="18">
        <f t="shared" si="2"/>
        <v>0</v>
      </c>
    </row>
    <row r="21" spans="1:9" x14ac:dyDescent="0.3">
      <c r="A21" s="23"/>
      <c r="B21" s="36" t="s">
        <v>8</v>
      </c>
      <c r="C21" s="2">
        <v>0</v>
      </c>
      <c r="D21" s="18">
        <v>4</v>
      </c>
      <c r="E21" s="18">
        <v>6</v>
      </c>
      <c r="F21" s="18">
        <v>3</v>
      </c>
      <c r="G21" s="18">
        <f t="shared" si="0"/>
        <v>0</v>
      </c>
      <c r="H21" s="18">
        <f t="shared" si="1"/>
        <v>0</v>
      </c>
      <c r="I21" s="18">
        <f t="shared" si="2"/>
        <v>0</v>
      </c>
    </row>
    <row r="22" spans="1:9" x14ac:dyDescent="0.3">
      <c r="A22" s="23"/>
      <c r="B22" s="36" t="s">
        <v>12</v>
      </c>
      <c r="C22" s="2">
        <v>0</v>
      </c>
      <c r="D22" s="18">
        <v>3</v>
      </c>
      <c r="E22" s="18">
        <v>7</v>
      </c>
      <c r="F22" s="18">
        <v>3</v>
      </c>
      <c r="G22" s="18">
        <f t="shared" si="0"/>
        <v>0</v>
      </c>
      <c r="H22" s="18">
        <f t="shared" si="1"/>
        <v>0</v>
      </c>
      <c r="I22" s="18">
        <f t="shared" si="2"/>
        <v>0</v>
      </c>
    </row>
    <row r="23" spans="1:9" x14ac:dyDescent="0.3">
      <c r="A23" s="23"/>
      <c r="B23" s="36" t="s">
        <v>6</v>
      </c>
      <c r="C23" s="2">
        <v>0</v>
      </c>
      <c r="D23" s="18">
        <v>2</v>
      </c>
      <c r="E23" s="18">
        <v>6</v>
      </c>
      <c r="F23" s="18">
        <v>3</v>
      </c>
      <c r="G23" s="18">
        <f t="shared" si="0"/>
        <v>0</v>
      </c>
      <c r="H23" s="18">
        <f t="shared" si="1"/>
        <v>0</v>
      </c>
      <c r="I23" s="18">
        <f t="shared" si="2"/>
        <v>0</v>
      </c>
    </row>
    <row r="24" spans="1:9" x14ac:dyDescent="0.3">
      <c r="A24" s="23"/>
      <c r="B24" s="36" t="s">
        <v>4</v>
      </c>
      <c r="C24" s="2">
        <v>0</v>
      </c>
      <c r="D24" s="18">
        <v>2</v>
      </c>
      <c r="E24" s="18">
        <v>6</v>
      </c>
      <c r="F24" s="18">
        <v>3</v>
      </c>
      <c r="G24" s="18">
        <f t="shared" si="0"/>
        <v>0</v>
      </c>
      <c r="H24" s="18">
        <f t="shared" si="1"/>
        <v>0</v>
      </c>
      <c r="I24" s="18">
        <f t="shared" si="2"/>
        <v>0</v>
      </c>
    </row>
    <row r="25" spans="1:9" x14ac:dyDescent="0.3">
      <c r="A25" s="23"/>
      <c r="B25" s="36" t="s">
        <v>7</v>
      </c>
      <c r="C25" s="2">
        <v>0</v>
      </c>
      <c r="D25" s="18">
        <v>2</v>
      </c>
      <c r="E25" s="18">
        <v>6</v>
      </c>
      <c r="F25" s="18">
        <v>3</v>
      </c>
      <c r="G25" s="18">
        <f t="shared" si="0"/>
        <v>0</v>
      </c>
      <c r="H25" s="18">
        <f t="shared" si="1"/>
        <v>0</v>
      </c>
      <c r="I25" s="18">
        <f t="shared" si="2"/>
        <v>0</v>
      </c>
    </row>
    <row r="26" spans="1:9" x14ac:dyDescent="0.3">
      <c r="A26" s="35"/>
      <c r="B26" s="36" t="s">
        <v>5</v>
      </c>
      <c r="C26" s="2">
        <v>0</v>
      </c>
      <c r="D26" s="18">
        <v>1</v>
      </c>
      <c r="E26" s="18">
        <v>7</v>
      </c>
      <c r="F26" s="18">
        <v>2</v>
      </c>
      <c r="G26" s="18">
        <f t="shared" si="0"/>
        <v>0</v>
      </c>
      <c r="H26" s="18">
        <f t="shared" si="1"/>
        <v>0</v>
      </c>
      <c r="I26" s="18">
        <f t="shared" si="2"/>
        <v>0</v>
      </c>
    </row>
    <row r="27" spans="1:9" x14ac:dyDescent="0.3">
      <c r="A27" s="16" t="s">
        <v>39</v>
      </c>
      <c r="B27" s="37" t="s">
        <v>29</v>
      </c>
      <c r="C27" s="3">
        <v>0</v>
      </c>
      <c r="D27" s="18">
        <v>2</v>
      </c>
      <c r="E27" s="18">
        <v>2</v>
      </c>
      <c r="F27" s="18">
        <v>6</v>
      </c>
      <c r="G27" s="18">
        <f t="shared" si="0"/>
        <v>0</v>
      </c>
      <c r="H27" s="18">
        <f t="shared" si="1"/>
        <v>0</v>
      </c>
      <c r="I27" s="18">
        <f t="shared" si="2"/>
        <v>0</v>
      </c>
    </row>
    <row r="28" spans="1:9" x14ac:dyDescent="0.3">
      <c r="A28" s="23"/>
      <c r="B28" s="37" t="s">
        <v>27</v>
      </c>
      <c r="C28" s="3">
        <v>0</v>
      </c>
      <c r="D28" s="18">
        <v>3</v>
      </c>
      <c r="E28" s="18">
        <v>3</v>
      </c>
      <c r="F28" s="18">
        <v>7</v>
      </c>
      <c r="G28" s="18">
        <f t="shared" si="0"/>
        <v>0</v>
      </c>
      <c r="H28" s="18">
        <f t="shared" si="1"/>
        <v>0</v>
      </c>
      <c r="I28" s="18">
        <f t="shared" si="2"/>
        <v>0</v>
      </c>
    </row>
    <row r="29" spans="1:9" x14ac:dyDescent="0.3">
      <c r="A29" s="23"/>
      <c r="B29" s="37" t="s">
        <v>26</v>
      </c>
      <c r="C29" s="3">
        <v>0</v>
      </c>
      <c r="D29" s="18">
        <v>2</v>
      </c>
      <c r="E29" s="18">
        <v>2</v>
      </c>
      <c r="F29" s="18">
        <v>8</v>
      </c>
      <c r="G29" s="18">
        <f t="shared" si="0"/>
        <v>0</v>
      </c>
      <c r="H29" s="18">
        <f t="shared" si="1"/>
        <v>0</v>
      </c>
      <c r="I29" s="18">
        <f t="shared" si="2"/>
        <v>0</v>
      </c>
    </row>
    <row r="30" spans="1:9" x14ac:dyDescent="0.3">
      <c r="A30" s="23"/>
      <c r="B30" s="37" t="s">
        <v>24</v>
      </c>
      <c r="C30" s="3">
        <v>0</v>
      </c>
      <c r="D30" s="18">
        <v>3</v>
      </c>
      <c r="E30" s="18">
        <v>2</v>
      </c>
      <c r="F30" s="18">
        <v>6</v>
      </c>
      <c r="G30" s="18">
        <f t="shared" si="0"/>
        <v>0</v>
      </c>
      <c r="H30" s="18">
        <f t="shared" si="1"/>
        <v>0</v>
      </c>
      <c r="I30" s="18">
        <f t="shared" si="2"/>
        <v>0</v>
      </c>
    </row>
    <row r="31" spans="1:9" x14ac:dyDescent="0.3">
      <c r="A31" s="23"/>
      <c r="B31" s="37" t="s">
        <v>22</v>
      </c>
      <c r="C31" s="3">
        <v>0</v>
      </c>
      <c r="D31" s="18">
        <v>2</v>
      </c>
      <c r="E31" s="18">
        <v>2</v>
      </c>
      <c r="F31" s="18">
        <v>6</v>
      </c>
      <c r="G31" s="18">
        <f t="shared" si="0"/>
        <v>0</v>
      </c>
      <c r="H31" s="18">
        <f t="shared" si="1"/>
        <v>0</v>
      </c>
      <c r="I31" s="18">
        <f t="shared" si="2"/>
        <v>0</v>
      </c>
    </row>
    <row r="32" spans="1:9" x14ac:dyDescent="0.3">
      <c r="A32" s="23"/>
      <c r="B32" s="37" t="s">
        <v>21</v>
      </c>
      <c r="C32" s="3">
        <v>0</v>
      </c>
      <c r="D32" s="18">
        <v>3</v>
      </c>
      <c r="E32" s="18">
        <v>4</v>
      </c>
      <c r="F32" s="18">
        <v>6</v>
      </c>
      <c r="G32" s="18">
        <f t="shared" si="0"/>
        <v>0</v>
      </c>
      <c r="H32" s="18">
        <f t="shared" si="1"/>
        <v>0</v>
      </c>
      <c r="I32" s="18">
        <f t="shared" si="2"/>
        <v>0</v>
      </c>
    </row>
    <row r="33" spans="1:9" x14ac:dyDescent="0.3">
      <c r="A33" s="23"/>
      <c r="B33" s="37" t="s">
        <v>23</v>
      </c>
      <c r="C33" s="3">
        <v>0</v>
      </c>
      <c r="D33" s="18">
        <v>2</v>
      </c>
      <c r="E33" s="18">
        <v>3</v>
      </c>
      <c r="F33" s="18">
        <v>6</v>
      </c>
      <c r="G33" s="18">
        <f t="shared" si="0"/>
        <v>0</v>
      </c>
      <c r="H33" s="18">
        <f t="shared" si="1"/>
        <v>0</v>
      </c>
      <c r="I33" s="18">
        <f t="shared" si="2"/>
        <v>0</v>
      </c>
    </row>
    <row r="34" spans="1:9" x14ac:dyDescent="0.3">
      <c r="A34" s="23"/>
      <c r="B34" s="37" t="s">
        <v>28</v>
      </c>
      <c r="C34" s="3">
        <v>0</v>
      </c>
      <c r="D34" s="18">
        <v>4</v>
      </c>
      <c r="E34" s="18">
        <v>2</v>
      </c>
      <c r="F34" s="18">
        <v>6</v>
      </c>
      <c r="G34" s="18">
        <f t="shared" si="0"/>
        <v>0</v>
      </c>
      <c r="H34" s="18">
        <f t="shared" si="1"/>
        <v>0</v>
      </c>
      <c r="I34" s="18">
        <f t="shared" si="2"/>
        <v>0</v>
      </c>
    </row>
    <row r="35" spans="1:9" x14ac:dyDescent="0.3">
      <c r="A35" s="35"/>
      <c r="B35" s="37" t="s">
        <v>25</v>
      </c>
      <c r="C35" s="3">
        <v>0</v>
      </c>
      <c r="D35" s="18">
        <v>4</v>
      </c>
      <c r="E35" s="18">
        <v>2</v>
      </c>
      <c r="F35" s="18">
        <v>7</v>
      </c>
      <c r="G35" s="18">
        <f t="shared" si="0"/>
        <v>0</v>
      </c>
      <c r="H35" s="18">
        <f t="shared" si="1"/>
        <v>0</v>
      </c>
      <c r="I35" s="18">
        <f t="shared" si="2"/>
        <v>0</v>
      </c>
    </row>
    <row r="36" spans="1:9" x14ac:dyDescent="0.3">
      <c r="A36" s="38" t="s">
        <v>47</v>
      </c>
      <c r="B36" s="39"/>
      <c r="C36" s="40">
        <f>COUNTIF(C8:C35,1)+COUNTIF(C8:C35,2)</f>
        <v>0</v>
      </c>
      <c r="D36" s="38" t="s">
        <v>46</v>
      </c>
      <c r="E36" s="41"/>
      <c r="F36" s="39"/>
      <c r="G36" s="40">
        <f>SUM(G8:G35)+COUNTIF(C8:C17,2)*2</f>
        <v>0</v>
      </c>
      <c r="H36" s="40">
        <f>SUM(H8:H35)+COUNTIF(C18:C26,2)*2</f>
        <v>0</v>
      </c>
      <c r="I36" s="40">
        <f>SUM(I8:I35)+COUNTIF(C27:C35,2)*2</f>
        <v>0</v>
      </c>
    </row>
    <row r="38" spans="1:9" x14ac:dyDescent="0.3">
      <c r="A38" s="5" t="s">
        <v>54</v>
      </c>
    </row>
    <row r="39" spans="1:9" ht="115.5" customHeight="1" x14ac:dyDescent="0.3">
      <c r="A39" s="42" t="s">
        <v>57</v>
      </c>
      <c r="B39" s="42"/>
      <c r="C39" s="42"/>
      <c r="D39" s="42"/>
      <c r="E39" s="42"/>
      <c r="F39" s="42"/>
      <c r="G39" s="42"/>
      <c r="H39" s="42"/>
      <c r="I39" s="42"/>
    </row>
  </sheetData>
  <sheetProtection sheet="1" objects="1" scenarios="1"/>
  <mergeCells count="17">
    <mergeCell ref="A39:I39"/>
    <mergeCell ref="D36:F36"/>
    <mergeCell ref="A36:B36"/>
    <mergeCell ref="L10:L12"/>
    <mergeCell ref="L13:L15"/>
    <mergeCell ref="A8:A17"/>
    <mergeCell ref="A18:A26"/>
    <mergeCell ref="A27:A35"/>
    <mergeCell ref="L8:N9"/>
    <mergeCell ref="G6:I6"/>
    <mergeCell ref="B6:C6"/>
    <mergeCell ref="D6:F6"/>
    <mergeCell ref="A4:D4"/>
    <mergeCell ref="A5:I5"/>
    <mergeCell ref="F4:G4"/>
    <mergeCell ref="A1:N1"/>
    <mergeCell ref="A2:N2"/>
  </mergeCells>
  <phoneticPr fontId="1" type="noConversion"/>
  <pageMargins left="0.7" right="0.7" top="0.75" bottom="0.75" header="0.3" footer="0.3"/>
  <pageSetup paperSize="9" orientation="portrait" r:id="rId1"/>
  <ignoredErrors>
    <ignoredError sqref="G36:H36 I36" formulaRange="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Sheet1</vt:lpstr>
    </vt:vector>
  </TitlesOfParts>
  <Company>LG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dc:creator>
  <cp:lastModifiedBy>L</cp:lastModifiedBy>
  <dcterms:created xsi:type="dcterms:W3CDTF">2020-10-27T00:16:27Z</dcterms:created>
  <dcterms:modified xsi:type="dcterms:W3CDTF">2020-10-28T09:28:01Z</dcterms:modified>
</cp:coreProperties>
</file>